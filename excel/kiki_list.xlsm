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43.31.111.254\post\"/>
    </mc:Choice>
  </mc:AlternateContent>
  <bookViews>
    <workbookView xWindow="0" yWindow="600" windowWidth="13020" windowHeight="10185"/>
  </bookViews>
  <sheets>
    <sheet name="Sheet1" sheetId="1" r:id="rId1"/>
  </sheets>
  <calcPr calcId="152511" concurrentCalc="0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D24" i="1"/>
  <c r="D27" i="1"/>
  <c r="D22" i="1"/>
  <c r="D23" i="1"/>
  <c r="D25" i="1"/>
  <c r="D21" i="1"/>
  <c r="D19" i="1"/>
  <c r="D17" i="1"/>
  <c r="D26" i="1"/>
  <c r="D20" i="1"/>
  <c r="D18" i="1"/>
  <c r="D16" i="1"/>
  <c r="D15" i="1"/>
  <c r="D14" i="1"/>
  <c r="B15" i="1"/>
  <c r="B16" i="1"/>
  <c r="B17" i="1"/>
  <c r="B18" i="1"/>
  <c r="C17" i="1"/>
  <c r="B19" i="1"/>
  <c r="B20" i="1"/>
  <c r="B21" i="1"/>
  <c r="B22" i="1"/>
  <c r="B23" i="1"/>
  <c r="C23" i="1"/>
</calcChain>
</file>

<file path=xl/sharedStrings.xml><?xml version="1.0" encoding="utf-8"?>
<sst xmlns="http://schemas.openxmlformats.org/spreadsheetml/2006/main" count="40" uniqueCount="23">
  <si>
    <t>Password</t>
    <phoneticPr fontId="1"/>
  </si>
  <si>
    <t>氏名</t>
    <rPh sb="0" eb="2">
      <t>シメイ</t>
    </rPh>
    <phoneticPr fontId="1"/>
  </si>
  <si>
    <t>URL</t>
    <phoneticPr fontId="1"/>
  </si>
  <si>
    <t>大谷</t>
    <rPh sb="0" eb="2">
      <t>オオタニ</t>
    </rPh>
    <phoneticPr fontId="1"/>
  </si>
  <si>
    <t>,"</t>
    <phoneticPr fontId="1"/>
  </si>
  <si>
    <t>メール</t>
    <phoneticPr fontId="1"/>
  </si>
  <si>
    <t>yomei.otani@gmail.com</t>
    <phoneticPr fontId="1"/>
  </si>
  <si>
    <t>有効</t>
    <rPh sb="0" eb="2">
      <t>ユウコウ</t>
    </rPh>
    <phoneticPr fontId="1"/>
  </si>
  <si>
    <t>有効</t>
  </si>
  <si>
    <t>無効</t>
  </si>
  <si>
    <t>→</t>
    <phoneticPr fontId="1"/>
  </si>
  <si>
    <t>admin</t>
    <phoneticPr fontId="1"/>
  </si>
  <si>
    <t>root</t>
    <phoneticPr fontId="1"/>
  </si>
  <si>
    <t>root</t>
    <phoneticPr fontId="1"/>
  </si>
  <si>
    <t>備考</t>
    <rPh sb="0" eb="2">
      <t>ビコウ</t>
    </rPh>
    <phoneticPr fontId="1"/>
  </si>
  <si>
    <t>開発者用試験アカウント</t>
    <rPh sb="0" eb="4">
      <t>カイハツシャヨウ</t>
    </rPh>
    <rPh sb="4" eb="6">
      <t>シケン</t>
    </rPh>
    <phoneticPr fontId="1"/>
  </si>
  <si>
    <t>潅水機器管理</t>
    <rPh sb="0" eb="2">
      <t>カンスイ</t>
    </rPh>
    <rPh sb="2" eb="4">
      <t>キキ</t>
    </rPh>
    <rPh sb="4" eb="6">
      <t>カンリ</t>
    </rPh>
    <phoneticPr fontId="1"/>
  </si>
  <si>
    <t>KIKIID</t>
    <phoneticPr fontId="1"/>
  </si>
  <si>
    <t>ベースURL</t>
    <phoneticPr fontId="1"/>
  </si>
  <si>
    <t>ws://irrigate.sensprout.net:12345/websocket/chat</t>
    <phoneticPr fontId="1"/>
  </si>
  <si>
    <r>
      <t>a</t>
    </r>
    <r>
      <rPr>
        <sz val="11"/>
        <color theme="1"/>
        <rFont val="ＭＳ Ｐゴシック"/>
        <family val="2"/>
        <charset val="128"/>
        <scheme val="minor"/>
      </rPr>
      <t>dmin</t>
    </r>
    <phoneticPr fontId="1"/>
  </si>
  <si>
    <r>
      <t>a</t>
    </r>
    <r>
      <rPr>
        <sz val="11"/>
        <color theme="1"/>
        <rFont val="ＭＳ Ｐゴシック"/>
        <family val="2"/>
        <charset val="128"/>
        <scheme val="minor"/>
      </rPr>
      <t>dmin</t>
    </r>
    <phoneticPr fontId="1"/>
  </si>
  <si>
    <r>
      <t>a</t>
    </r>
    <r>
      <rPr>
        <sz val="11"/>
        <color theme="1"/>
        <rFont val="ＭＳ Ｐゴシック"/>
        <family val="2"/>
        <charset val="128"/>
        <scheme val="minor"/>
      </rPr>
      <t>dmin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</si>
</sst>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4" fillId="5" borderId="0" xfId="0" applyFont="1" applyFill="1">
      <alignment vertical="center"/>
    </xf>
    <xf numFmtId="49" fontId="4" fillId="5" borderId="0" xfId="0" applyNumberFormat="1" applyFont="1" applyFill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applyNumberFormat="1" applyFont="1" applyAlignment="1">
      <alignment horizontal="center" vertical="center"/>
    </xf>
    <xf numFmtId="0" fontId="5" fillId="0" borderId="0" xfId="1" applyFont="1">
      <alignment vertical="center"/>
    </xf>
    <xf numFmtId="0" fontId="5" fillId="0" borderId="0" xfId="1" applyFont="1" applyAlignment="1">
      <alignment vertical="center"/>
    </xf>
    <xf numFmtId="0" fontId="4" fillId="0" borderId="0" xfId="0" applyFont="1" applyAlignment="1">
      <alignment vertical="center"/>
    </xf>
    <xf numFmtId="49" fontId="4" fillId="3" borderId="5" xfId="0" applyNumberFormat="1" applyFont="1" applyFill="1" applyBorder="1" applyAlignment="1">
      <alignment horizontal="center" vertical="center"/>
    </xf>
    <xf numFmtId="0" fontId="4" fillId="3" borderId="5" xfId="0" applyFont="1" applyFill="1" applyBorder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6" xfId="0" applyFont="1" applyFill="1" applyBorder="1">
      <alignment vertical="center"/>
    </xf>
    <xf numFmtId="0" fontId="4" fillId="0" borderId="2" xfId="0" applyFont="1" applyFill="1" applyBorder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3" xfId="0" applyFont="1" applyFill="1" applyBorder="1">
      <alignment vertical="center"/>
    </xf>
    <xf numFmtId="0" fontId="4" fillId="5" borderId="2" xfId="0" applyFont="1" applyFill="1" applyBorder="1">
      <alignment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5" fillId="2" borderId="1" xfId="1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>
      <alignment vertical="center"/>
    </xf>
    <xf numFmtId="0" fontId="4" fillId="4" borderId="2" xfId="0" applyFont="1" applyFill="1" applyBorder="1">
      <alignment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5" fillId="4" borderId="1" xfId="1" applyFont="1" applyFill="1" applyBorder="1">
      <alignment vertical="center"/>
    </xf>
    <xf numFmtId="0" fontId="4" fillId="4" borderId="1" xfId="0" applyFont="1" applyFill="1" applyBorder="1" applyAlignment="1">
      <alignment vertical="center"/>
    </xf>
    <xf numFmtId="0" fontId="4" fillId="4" borderId="3" xfId="0" applyFont="1" applyFill="1" applyBorder="1">
      <alignment vertical="center"/>
    </xf>
    <xf numFmtId="0" fontId="0" fillId="5" borderId="0" xfId="0" applyFont="1" applyFill="1">
      <alignment vertical="center"/>
    </xf>
    <xf numFmtId="0" fontId="0" fillId="3" borderId="4" xfId="0" applyFont="1" applyFill="1" applyBorder="1">
      <alignment vertical="center"/>
    </xf>
    <xf numFmtId="0" fontId="0" fillId="2" borderId="1" xfId="0" applyFont="1" applyFill="1" applyBorder="1" applyAlignment="1">
      <alignment vertical="center"/>
    </xf>
    <xf numFmtId="0" fontId="0" fillId="4" borderId="1" xfId="0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85725</xdr:rowOff>
        </xdr:from>
        <xdr:to>
          <xdr:col>3</xdr:col>
          <xdr:colOff>361950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サーバファイル更新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yomei.otani@gmail.com" TargetMode="External"/><Relationship Id="rId1" Type="http://schemas.openxmlformats.org/officeDocument/2006/relationships/hyperlink" Target="mailto:yomei.otani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I27"/>
  <sheetViews>
    <sheetView tabSelected="1" zoomScale="90" zoomScaleNormal="90" workbookViewId="0">
      <pane ySplit="13" topLeftCell="A14" activePane="bottomLeft" state="frozen"/>
      <selection pane="bottomLeft" activeCell="E22" sqref="E22"/>
    </sheetView>
  </sheetViews>
  <sheetFormatPr defaultColWidth="9" defaultRowHeight="13.5" x14ac:dyDescent="0.15"/>
  <cols>
    <col min="1" max="1" width="9" style="3" customWidth="1"/>
    <col min="2" max="2" width="9" style="3"/>
    <col min="3" max="3" width="12.125" style="4" customWidth="1"/>
    <col min="4" max="5" width="9" style="3"/>
    <col min="6" max="6" width="21.375" style="3" customWidth="1"/>
    <col min="7" max="7" width="20.5" style="7" customWidth="1"/>
    <col min="8" max="8" width="44.125" style="3" customWidth="1"/>
    <col min="9" max="9" width="17.125" style="3" customWidth="1"/>
    <col min="10" max="16384" width="9" style="3"/>
  </cols>
  <sheetData>
    <row r="6" spans="2:9" x14ac:dyDescent="0.15">
      <c r="B6" s="34" t="s">
        <v>16</v>
      </c>
      <c r="C6" s="2"/>
      <c r="D6" s="1"/>
      <c r="E6" s="1"/>
      <c r="F6" s="34" t="s">
        <v>18</v>
      </c>
      <c r="G6" s="34" t="s">
        <v>19</v>
      </c>
      <c r="H6" s="1"/>
      <c r="I6" s="1"/>
    </row>
    <row r="7" spans="2:9" x14ac:dyDescent="0.15">
      <c r="F7" s="5"/>
      <c r="G7" s="6"/>
    </row>
    <row r="9" spans="2:9" ht="14.25" thickBot="1" x14ac:dyDescent="0.2"/>
    <row r="10" spans="2:9" x14ac:dyDescent="0.15">
      <c r="B10" s="35" t="s">
        <v>17</v>
      </c>
      <c r="C10" s="8" t="s">
        <v>0</v>
      </c>
      <c r="D10" s="9" t="s">
        <v>10</v>
      </c>
      <c r="E10" s="9" t="s">
        <v>7</v>
      </c>
      <c r="F10" s="9" t="s">
        <v>5</v>
      </c>
      <c r="G10" s="10" t="s">
        <v>1</v>
      </c>
      <c r="H10" s="9" t="s">
        <v>2</v>
      </c>
      <c r="I10" s="11" t="s">
        <v>14</v>
      </c>
    </row>
    <row r="11" spans="2:9" x14ac:dyDescent="0.15">
      <c r="B11" s="12"/>
      <c r="C11" s="13"/>
      <c r="D11" s="14"/>
      <c r="E11" s="14"/>
      <c r="F11" s="14"/>
      <c r="G11" s="15"/>
      <c r="H11" s="14"/>
      <c r="I11" s="16"/>
    </row>
    <row r="12" spans="2:9" x14ac:dyDescent="0.15">
      <c r="B12" s="12"/>
      <c r="C12" s="13"/>
      <c r="D12" s="14"/>
      <c r="E12" s="14"/>
      <c r="F12" s="14"/>
      <c r="G12" s="15"/>
      <c r="H12" s="14"/>
      <c r="I12" s="16"/>
    </row>
    <row r="13" spans="2:9" x14ac:dyDescent="0.15">
      <c r="B13" s="17"/>
      <c r="C13" s="18"/>
      <c r="D13" s="19"/>
      <c r="E13" s="19"/>
      <c r="F13" s="19" t="s">
        <v>15</v>
      </c>
      <c r="G13" s="20"/>
      <c r="H13" s="19"/>
      <c r="I13" s="21"/>
    </row>
    <row r="14" spans="2:9" x14ac:dyDescent="0.15">
      <c r="B14" s="22">
        <v>1</v>
      </c>
      <c r="C14" s="23" t="s">
        <v>11</v>
      </c>
      <c r="D14" s="24">
        <f t="shared" ref="D14:D26" si="0">IF(E14="有効",1,0)</f>
        <v>1</v>
      </c>
      <c r="E14" s="24" t="s">
        <v>8</v>
      </c>
      <c r="F14" s="25" t="s">
        <v>12</v>
      </c>
      <c r="G14" s="26" t="s">
        <v>13</v>
      </c>
      <c r="H14" s="36" t="str">
        <f t="shared" ref="H14:H27" si="1">$G$6&amp;"/"&amp;B14</f>
        <v>ws://irrigate.sensprout.net:12345/websocket/chat/1</v>
      </c>
      <c r="I14" s="27"/>
    </row>
    <row r="15" spans="2:9" x14ac:dyDescent="0.15">
      <c r="B15" s="28">
        <f t="shared" ref="B15:B23" si="2">B14+1</f>
        <v>2</v>
      </c>
      <c r="C15" s="38" t="s">
        <v>20</v>
      </c>
      <c r="D15" s="30">
        <f t="shared" si="0"/>
        <v>1</v>
      </c>
      <c r="E15" s="30" t="s">
        <v>8</v>
      </c>
      <c r="F15" s="31" t="s">
        <v>6</v>
      </c>
      <c r="G15" s="32" t="s">
        <v>3</v>
      </c>
      <c r="H15" s="37" t="str">
        <f t="shared" si="1"/>
        <v>ws://irrigate.sensprout.net:12345/websocket/chat/2</v>
      </c>
      <c r="I15" s="33"/>
    </row>
    <row r="16" spans="2:9" x14ac:dyDescent="0.15">
      <c r="B16" s="22">
        <f>B15+1</f>
        <v>3</v>
      </c>
      <c r="C16" s="39" t="s">
        <v>21</v>
      </c>
      <c r="D16" s="24">
        <f t="shared" si="0"/>
        <v>1</v>
      </c>
      <c r="E16" s="24" t="s">
        <v>8</v>
      </c>
      <c r="F16" s="24" t="s">
        <v>4</v>
      </c>
      <c r="G16" s="26" t="s">
        <v>4</v>
      </c>
      <c r="H16" s="36" t="str">
        <f t="shared" si="1"/>
        <v>ws://irrigate.sensprout.net:12345/websocket/chat/3</v>
      </c>
      <c r="I16" s="27"/>
    </row>
    <row r="17" spans="2:9" x14ac:dyDescent="0.15">
      <c r="B17" s="28">
        <f t="shared" si="2"/>
        <v>4</v>
      </c>
      <c r="C17" s="29">
        <f t="shared" ref="C15:C23" si="3">MOD(B17*7*500019,899999)+100000</f>
        <v>600547</v>
      </c>
      <c r="D17" s="30">
        <f t="shared" si="0"/>
        <v>1</v>
      </c>
      <c r="E17" s="30" t="s">
        <v>8</v>
      </c>
      <c r="F17" s="30"/>
      <c r="G17" s="32"/>
      <c r="H17" s="37" t="str">
        <f t="shared" si="1"/>
        <v>ws://irrigate.sensprout.net:12345/websocket/chat/4</v>
      </c>
      <c r="I17" s="33"/>
    </row>
    <row r="18" spans="2:9" x14ac:dyDescent="0.15">
      <c r="B18" s="22">
        <f t="shared" si="2"/>
        <v>5</v>
      </c>
      <c r="C18" s="39" t="s">
        <v>20</v>
      </c>
      <c r="D18" s="24">
        <f t="shared" si="0"/>
        <v>1</v>
      </c>
      <c r="E18" s="24" t="s">
        <v>8</v>
      </c>
      <c r="F18" s="24"/>
      <c r="G18" s="26"/>
      <c r="H18" s="36" t="str">
        <f t="shared" si="1"/>
        <v>ws://irrigate.sensprout.net:12345/websocket/chat/5</v>
      </c>
      <c r="I18" s="27"/>
    </row>
    <row r="19" spans="2:9" x14ac:dyDescent="0.15">
      <c r="B19" s="28">
        <f t="shared" si="2"/>
        <v>6</v>
      </c>
      <c r="C19" s="38" t="s">
        <v>20</v>
      </c>
      <c r="D19" s="30">
        <f t="shared" si="0"/>
        <v>1</v>
      </c>
      <c r="E19" s="30" t="s">
        <v>8</v>
      </c>
      <c r="F19" s="30"/>
      <c r="G19" s="32"/>
      <c r="H19" s="37" t="str">
        <f t="shared" si="1"/>
        <v>ws://irrigate.sensprout.net:12345/websocket/chat/6</v>
      </c>
      <c r="I19" s="33"/>
    </row>
    <row r="20" spans="2:9" x14ac:dyDescent="0.15">
      <c r="B20" s="22">
        <f>B19+1</f>
        <v>7</v>
      </c>
      <c r="C20" s="39" t="s">
        <v>22</v>
      </c>
      <c r="D20" s="24">
        <f t="shared" si="0"/>
        <v>1</v>
      </c>
      <c r="E20" s="24" t="s">
        <v>8</v>
      </c>
      <c r="F20" s="24"/>
      <c r="G20" s="26"/>
      <c r="H20" s="36" t="str">
        <f t="shared" si="1"/>
        <v>ws://irrigate.sensprout.net:12345/websocket/chat/7</v>
      </c>
      <c r="I20" s="27"/>
    </row>
    <row r="21" spans="2:9" x14ac:dyDescent="0.15">
      <c r="B21" s="28">
        <f>B20+1</f>
        <v>8</v>
      </c>
      <c r="C21" s="38" t="s">
        <v>21</v>
      </c>
      <c r="D21" s="30">
        <f t="shared" si="0"/>
        <v>1</v>
      </c>
      <c r="E21" s="30" t="s">
        <v>8</v>
      </c>
      <c r="F21" s="30"/>
      <c r="G21" s="32"/>
      <c r="H21" s="37" t="str">
        <f t="shared" si="1"/>
        <v>ws://irrigate.sensprout.net:12345/websocket/chat/8</v>
      </c>
      <c r="I21" s="33"/>
    </row>
    <row r="22" spans="2:9" x14ac:dyDescent="0.15">
      <c r="B22" s="22">
        <f t="shared" si="2"/>
        <v>9</v>
      </c>
      <c r="C22" s="39" t="s">
        <v>21</v>
      </c>
      <c r="D22" s="24">
        <f t="shared" si="0"/>
        <v>1</v>
      </c>
      <c r="E22" s="24" t="s">
        <v>8</v>
      </c>
      <c r="F22" s="24"/>
      <c r="G22" s="26"/>
      <c r="H22" s="36" t="str">
        <f t="shared" si="1"/>
        <v>ws://irrigate.sensprout.net:12345/websocket/chat/9</v>
      </c>
      <c r="I22" s="27"/>
    </row>
    <row r="23" spans="2:9" x14ac:dyDescent="0.15">
      <c r="B23" s="28">
        <f t="shared" si="2"/>
        <v>10</v>
      </c>
      <c r="C23" s="29">
        <f t="shared" si="3"/>
        <v>901368</v>
      </c>
      <c r="D23" s="30">
        <f t="shared" si="0"/>
        <v>0</v>
      </c>
      <c r="E23" s="30" t="s">
        <v>9</v>
      </c>
      <c r="F23" s="30"/>
      <c r="G23" s="32"/>
      <c r="H23" s="37" t="str">
        <f t="shared" si="1"/>
        <v>ws://irrigate.sensprout.net:12345/websocket/chat/10</v>
      </c>
      <c r="I23" s="33"/>
    </row>
    <row r="24" spans="2:9" x14ac:dyDescent="0.15">
      <c r="B24" s="22"/>
      <c r="C24" s="23"/>
      <c r="D24" s="24">
        <f t="shared" si="0"/>
        <v>0</v>
      </c>
      <c r="E24" s="24" t="s">
        <v>9</v>
      </c>
      <c r="F24" s="23"/>
      <c r="G24" s="23"/>
      <c r="H24" s="36" t="str">
        <f t="shared" si="1"/>
        <v>ws://irrigate.sensprout.net:12345/websocket/chat/</v>
      </c>
      <c r="I24" s="27"/>
    </row>
    <row r="25" spans="2:9" x14ac:dyDescent="0.15">
      <c r="B25" s="28"/>
      <c r="C25" s="29"/>
      <c r="D25" s="30">
        <f t="shared" si="0"/>
        <v>0</v>
      </c>
      <c r="E25" s="30" t="s">
        <v>9</v>
      </c>
      <c r="F25" s="30"/>
      <c r="G25" s="32"/>
      <c r="H25" s="37" t="str">
        <f t="shared" si="1"/>
        <v>ws://irrigate.sensprout.net:12345/websocket/chat/</v>
      </c>
      <c r="I25" s="33"/>
    </row>
    <row r="26" spans="2:9" x14ac:dyDescent="0.15">
      <c r="B26" s="22"/>
      <c r="C26" s="23"/>
      <c r="D26" s="24">
        <f t="shared" si="0"/>
        <v>0</v>
      </c>
      <c r="E26" s="24" t="s">
        <v>9</v>
      </c>
      <c r="F26" s="24"/>
      <c r="G26" s="26"/>
      <c r="H26" s="36" t="str">
        <f t="shared" si="1"/>
        <v>ws://irrigate.sensprout.net:12345/websocket/chat/</v>
      </c>
      <c r="I26" s="27"/>
    </row>
    <row r="27" spans="2:9" x14ac:dyDescent="0.15">
      <c r="B27" s="28"/>
      <c r="C27" s="29"/>
      <c r="D27" s="30">
        <f t="shared" ref="D27" si="4">IF(E27="有効",1,0)</f>
        <v>0</v>
      </c>
      <c r="E27" s="30" t="s">
        <v>9</v>
      </c>
      <c r="F27" s="30"/>
      <c r="G27" s="30"/>
      <c r="H27" s="37" t="str">
        <f t="shared" si="1"/>
        <v>ws://irrigate.sensprout.net:12345/websocket/chat/</v>
      </c>
      <c r="I27" s="33"/>
    </row>
  </sheetData>
  <phoneticPr fontId="1"/>
  <dataValidations count="1">
    <dataValidation type="list" allowBlank="1" showInputMessage="1" showErrorMessage="1" sqref="E14:E27">
      <formula1>"有効,無効"</formula1>
    </dataValidation>
  </dataValidations>
  <hyperlinks>
    <hyperlink ref="F15" r:id="rId1"/>
    <hyperlink ref="F14" r:id="rId2" display="yomei.otani@gmail.com"/>
  </hyperlinks>
  <pageMargins left="0.7" right="0.7" top="0.75" bottom="0.75" header="0.3" footer="0.3"/>
  <pageSetup paperSize="9" orientation="portrait" verticalDpi="36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1</xdr:col>
                    <xdr:colOff>190500</xdr:colOff>
                    <xdr:row>1</xdr:row>
                    <xdr:rowOff>85725</xdr:rowOff>
                  </from>
                  <to>
                    <xdr:col>3</xdr:col>
                    <xdr:colOff>361950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yomei</dc:creator>
  <cp:lastModifiedBy>yomei</cp:lastModifiedBy>
  <dcterms:created xsi:type="dcterms:W3CDTF">2015-12-13T23:50:16Z</dcterms:created>
  <dcterms:modified xsi:type="dcterms:W3CDTF">2018-01-10T06:10:05Z</dcterms:modified>
</cp:coreProperties>
</file>